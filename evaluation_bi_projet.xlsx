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Formulaire" sheetId="1" state="visible" r:id="rId3"/>
    <sheet name="📊 Résultat &amp; KPI" sheetId="2" state="visible" r:id="rId4"/>
    <sheet name="ℹ️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<sst xmlns="http://schemas.openxmlformats.org/spreadsheetml/2006/main" count="99" uniqueCount="90">
  <si>
    <t xml:space="preserve">🔍  ÉVALUATION DU BESOIN EN BUSINESS INTELLIGENCE</t>
  </si>
  <si>
    <t xml:space="preserve">Phase d'étude de projet  |  Remplissez le formulaire et consultez l'onglet Résultat</t>
  </si>
  <si>
    <t xml:space="preserve">📌  Instructions : Pour chaque critère, sélectionnez une valeur dans la liste déroulante de la colonne C. La colonne D calcule automatiquement le score partiel.</t>
  </si>
  <si>
    <t xml:space="preserve">A. DONNÉES &amp; VOLUMES</t>
  </si>
  <si>
    <t xml:space="preserve">Question</t>
  </si>
  <si>
    <t xml:space="preserve">Réponse (sélectionner ↓)</t>
  </si>
  <si>
    <t xml:space="preserve">Score</t>
  </si>
  <si>
    <t xml:space="preserve">Le projet génère-t-il des données structurées en volume ?</t>
  </si>
  <si>
    <t xml:space="preserve">Combien de sources de données différentes seront impliquées ?</t>
  </si>
  <si>
    <t xml:space="preserve">Les données sont-elles mises à jour fréquemment ?</t>
  </si>
  <si>
    <t xml:space="preserve">B. REPORTING &amp; SUIVI</t>
  </si>
  <si>
    <t xml:space="preserve">Des rapports récurrents sont-ils attendus ?</t>
  </si>
  <si>
    <t xml:space="preserve">Combien d'utilisateurs auront besoin de consulter les tableaux de bord ?</t>
  </si>
  <si>
    <t xml:space="preserve">Le projet implique-t-il un suivi de performance ou d'objectifs ?</t>
  </si>
  <si>
    <t xml:space="preserve">C. AIDE À LA DÉCISION</t>
  </si>
  <si>
    <t xml:space="preserve">Les décisions prises dans ce projet nécessitent-elles des analyses ?</t>
  </si>
  <si>
    <t xml:space="preserve">Le projet implique-t-il des comparaisons (périodes, entités, scénarios) ?</t>
  </si>
  <si>
    <t xml:space="preserve">Y a-t-il un besoin de segmentation ou de filtrage des données ?</t>
  </si>
  <si>
    <t xml:space="preserve">D. CONTRAINTES &amp; BUDGET</t>
  </si>
  <si>
    <t xml:space="preserve">Des outils BI sont-ils déjà disponibles dans l'organisation ?</t>
  </si>
  <si>
    <t xml:space="preserve">Existe-t-il une équipe ou compétences BI internes ?</t>
  </si>
  <si>
    <t xml:space="preserve">Quel est le niveau d'urgence du projet ?</t>
  </si>
  <si>
    <t xml:space="preserve">SCORE TOTAL  (sur 36)</t>
  </si>
  <si>
    <t xml:space="preserve">➡  Consultez l'onglet "📊 Résultat &amp; KPI" pour voir le diagnostic et les indicateurs proposés.</t>
  </si>
  <si>
    <t xml:space="preserve">📊  DIAGNOSTIC BI &amp; INDICATEURS CLÉS PROPOSÉS</t>
  </si>
  <si>
    <t xml:space="preserve">Résultat généré automatiquement à partir du formulaire</t>
  </si>
  <si>
    <t xml:space="preserve">Score obtenu</t>
  </si>
  <si>
    <t xml:space="preserve">📌  INDICATEURS CLÉS (KPI) PROPOSÉS SELON LE NIVEAU</t>
  </si>
  <si>
    <t xml:space="preserve">NIVEAU</t>
  </si>
  <si>
    <t xml:space="preserve">KPI / INDICATEUR</t>
  </si>
  <si>
    <t xml:space="preserve">DESCRIPTION</t>
  </si>
  <si>
    <t xml:space="preserve">🔴  Score ≤ 10
BI non prioritaire</t>
  </si>
  <si>
    <t xml:space="preserve">Taux de complétion du projet</t>
  </si>
  <si>
    <t xml:space="preserve">% des livrables validés / total prévu</t>
  </si>
  <si>
    <t xml:space="preserve">Respect du planning</t>
  </si>
  <si>
    <t xml:space="preserve">Écart entre dates planifiées et réelles</t>
  </si>
  <si>
    <t xml:space="preserve">Budget consommé vs. alloué</t>
  </si>
  <si>
    <t xml:space="preserve">Ratio dépenses réelles / budget initial</t>
  </si>
  <si>
    <t xml:space="preserve">🟡  Score 11–20
BI envisageable</t>
  </si>
  <si>
    <t xml:space="preserve">Nombre de demandes traitées / période</t>
  </si>
  <si>
    <t xml:space="preserve">Volume d'activité périodique</t>
  </si>
  <si>
    <t xml:space="preserve">Délai moyen de traitement</t>
  </si>
  <si>
    <t xml:space="preserve">Temps moyen entre réception et clôture</t>
  </si>
  <si>
    <t xml:space="preserve">Taux de satisfaction parties prenantes</t>
  </si>
  <si>
    <t xml:space="preserve">Enquête ou NPS périodique</t>
  </si>
  <si>
    <t xml:space="preserve">Taux d'erreurs / anomalies détectées</t>
  </si>
  <si>
    <t xml:space="preserve">% de cas non conformes sur total traité</t>
  </si>
  <si>
    <t xml:space="preserve">🟠  Score 21–28
BI recommandée</t>
  </si>
  <si>
    <t xml:space="preserve">Tableau de bord opérationnel (ODB)</t>
  </si>
  <si>
    <t xml:space="preserve">Vue consolidée des KPIs en temps quasi-réel</t>
  </si>
  <si>
    <t xml:space="preserve">Taux de réalisation des objectifs (OKR)</t>
  </si>
  <si>
    <t xml:space="preserve">Suivi des objectifs clés et résultats</t>
  </si>
  <si>
    <t xml:space="preserve">Coût par unité produite / livrée</t>
  </si>
  <si>
    <t xml:space="preserve">Efficience opérationnelle par ressource</t>
  </si>
  <si>
    <t xml:space="preserve">Évolution mensuelle des indicateurs clés</t>
  </si>
  <si>
    <t xml:space="preserve">Tendance (trend) sur les principaux KPIs</t>
  </si>
  <si>
    <t xml:space="preserve">Taux d'utilisation des ressources</t>
  </si>
  <si>
    <t xml:space="preserve">% capacité utilisée vs. disponible</t>
  </si>
  <si>
    <t xml:space="preserve">🟢  Score ≥ 29
BI indispensable</t>
  </si>
  <si>
    <t xml:space="preserve">Tableau de bord stratégique (exécutif)</t>
  </si>
  <si>
    <t xml:space="preserve">KPIs de haut niveau pour la direction</t>
  </si>
  <si>
    <t xml:space="preserve">Score de performance global (composite)</t>
  </si>
  <si>
    <t xml:space="preserve">Indice agrégé pondéré des KPIs majeurs</t>
  </si>
  <si>
    <t xml:space="preserve">Analyse prédictive de charge / demande</t>
  </si>
  <si>
    <t xml:space="preserve">Modèle de prévision à 3–6 mois</t>
  </si>
  <si>
    <t xml:space="preserve">Analyse de cohortes / segmentation</t>
  </si>
  <si>
    <t xml:space="preserve">Performance par segment, région, unité</t>
  </si>
  <si>
    <t xml:space="preserve">ROI du projet / initiative</t>
  </si>
  <si>
    <t xml:space="preserve">Retour sur investissement calculé en continu</t>
  </si>
  <si>
    <t xml:space="preserve">Taux de couverture des données (qualité)</t>
  </si>
  <si>
    <t xml:space="preserve">% données complètes et fiables dans le SI</t>
  </si>
  <si>
    <t xml:space="preserve">Ce diagnostic est indicatif. Il doit être complété par une analyse métier approfondie.</t>
  </si>
  <si>
    <t xml:space="preserve">ℹ️  GUIDE D'UTILISATION — ÉVALUATION BI</t>
  </si>
  <si>
    <t xml:space="preserve">ÉTAPE 1 — Remplir le formulaire</t>
  </si>
  <si>
    <t xml:space="preserve">Ouvrez l'onglet « 📋 Formulaire ».</t>
  </si>
  <si>
    <t xml:space="preserve">Pour chaque question, cliquez sur la cellule de la colonne C et sélectionnez une réponse dans la liste déroulante.</t>
  </si>
  <si>
    <t xml:space="preserve">Les scores partiels (colonne D) se calculent automatiquement.</t>
  </si>
  <si>
    <t xml:space="preserve">ÉTAPE 2 — Consulter le résultat</t>
  </si>
  <si>
    <t xml:space="preserve">Rendez-vous sur l'onglet « 📊 Résultat &amp; KPI ».</t>
  </si>
  <si>
    <t xml:space="preserve">Le score total et le diagnostic s'affichent automatiquement.</t>
  </si>
  <si>
    <t xml:space="preserve">Les KPI proposés correspondent au niveau de maturité BI détecté.</t>
  </si>
  <si>
    <t xml:space="preserve">GRILLE DE SCORING</t>
  </si>
  <si>
    <t xml:space="preserve">0 – 10  :  BI non prioritaire  →  Outils simples suffisent</t>
  </si>
  <si>
    <t xml:space="preserve">11 – 20  :  BI envisageable  →  Tableaux de bord légers recommandés</t>
  </si>
  <si>
    <t xml:space="preserve">21 – 28  :  BI recommandée  →  Dispositif BI structuré à planifier</t>
  </si>
  <si>
    <t xml:space="preserve">29 – 36  :  BI indispensable  →  Plateforme BI complète nécessaire</t>
  </si>
  <si>
    <t xml:space="preserve">NOTES IMPORTANTES</t>
  </si>
  <si>
    <t xml:space="preserve">Ce formulaire est un outil d'aide à la décision, non une prescription définitive.</t>
  </si>
  <si>
    <t xml:space="preserve">Les sections D (contraintes) intègrent des scores inverses : disponibilité des outils et compétences existantes réduisent la criticité du besoin.</t>
  </si>
  <si>
    <t xml:space="preserve">Combinez ce diagnostic avec une analyse des parties prenantes et une cartographie des processus pour une décision éclairée.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</si>
</sst>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color rgb="FF1A1A2E"/>
      <name val="Arial"/>
      <family val="0"/>
      <charset val="1"/>
    </font>
    <font>
      <sz val="10"/>
      <color rgb="FF00008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i val="true"/>
      <sz val="10"/>
      <color rgb="FF2E75B6"/>
      <name val="Arial"/>
      <family val="0"/>
      <charset val="1"/>
    </font>
    <font>
      <b val="true"/>
      <sz val="13"/>
      <color rgb="FF1A1A2E"/>
      <name val="Arial"/>
      <family val="0"/>
      <charset val="1"/>
    </font>
    <font>
      <i val="true"/>
      <sz val="10"/>
      <color rgb="FF1A1A2E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2E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2EFD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4"/>
  </cols>
  <sheetData>
    <row r="1" customFormat="false" ht="15" hidden="false" customHeight="true" outlineLevel="0" collapsed="false"/>
    <row r="2" customFormat="false" ht="45" hidden="false" customHeight="true" outlineLevel="0" collapsed="false">
      <c r="B2" s="1" t="s">
        <v>0</v>
      </c>
      <c r="C2" s="1"/>
      <c r="D2" s="1"/>
    </row>
    <row r="3" customFormat="false" ht="21.75" hidden="false" customHeight="true" outlineLevel="0" collapsed="false">
      <c r="B3" s="2" t="s">
        <v>1</v>
      </c>
      <c r="C3" s="2"/>
      <c r="D3" s="2"/>
    </row>
    <row r="4" customFormat="false" ht="7.5" hidden="false" customHeight="true" outlineLevel="0" collapsed="false"/>
    <row r="5" customFormat="false" ht="27.75" hidden="false" customHeight="true" outlineLevel="0" collapsed="false">
      <c r="B5" s="3" t="s">
        <v>2</v>
      </c>
      <c r="C5" s="3"/>
      <c r="D5" s="3"/>
    </row>
    <row r="7" customFormat="false" ht="7.5" hidden="false" customHeight="true" outlineLevel="0" collapsed="false"/>
    <row r="8" customFormat="false" ht="25.5" hidden="false" customHeight="true" outlineLevel="0" collapsed="false">
      <c r="B8" s="4" t="s">
        <v>3</v>
      </c>
      <c r="C8" s="4"/>
      <c r="D8" s="4"/>
    </row>
    <row r="9" customFormat="false" ht="19.5" hidden="false" customHeight="true" outlineLevel="0" collapsed="false">
      <c r="B9" s="5" t="s">
        <v>4</v>
      </c>
      <c r="C9" s="5" t="s">
        <v>5</v>
      </c>
      <c r="D9" s="5" t="s">
        <v>6</v>
      </c>
    </row>
    <row r="10" customFormat="false" ht="36" hidden="false" customHeight="true" outlineLevel="0" collapsed="false">
      <c r="B10" s="6" t="s">
        <v>7</v>
      </c>
      <c r="C10" s="7"/>
      <c r="D10" s="8" t="n">
        <f aca="false">IF(C10="Non (&lt; 500 lignes/mois)",0,IF(C10="Peu (500 – 5 000)",1,IF(C10="Modéré (5 000 – 50 000)",2,IF(C10="Important (&gt; 50 000)",3,0))))</f>
        <v>0</v>
      </c>
    </row>
    <row r="11" customFormat="false" ht="36" hidden="false" customHeight="true" outlineLevel="0" collapsed="false">
      <c r="B11" s="9" t="s">
        <v>8</v>
      </c>
      <c r="C11" s="7"/>
      <c r="D11" s="10" t="n">
        <f aca="false">IF(C11="1 source unique",0,IF(C11="2 – 3 sources",1,IF(C11="4 – 6 sources",2,IF(C11="7 sources ou plus",3,0))))</f>
        <v>0</v>
      </c>
    </row>
    <row r="12" customFormat="false" ht="36" hidden="false" customHeight="true" outlineLevel="0" collapsed="false">
      <c r="B12" s="6" t="s">
        <v>9</v>
      </c>
      <c r="C12" s="7"/>
      <c r="D12" s="8" t="n">
        <f aca="false">IF(C12="Statique / ponctuel",0,IF(C12="Mensuel",1,IF(C12="Hebdomadaire",2,IF(C12="Quotidien ou temps réel",3,0))))</f>
        <v>0</v>
      </c>
    </row>
    <row r="13" customFormat="false" ht="7.5" hidden="false" customHeight="true" outlineLevel="0" collapsed="false"/>
    <row r="14" customFormat="false" ht="25.5" hidden="false" customHeight="true" outlineLevel="0" collapsed="false">
      <c r="B14" s="4" t="s">
        <v>10</v>
      </c>
      <c r="C14" s="4"/>
      <c r="D14" s="4"/>
    </row>
    <row r="15" customFormat="false" ht="19.5" hidden="false" customHeight="true" outlineLevel="0" collapsed="false">
      <c r="B15" s="5" t="s">
        <v>4</v>
      </c>
      <c r="C15" s="5" t="s">
        <v>5</v>
      </c>
      <c r="D15" s="5" t="s">
        <v>6</v>
      </c>
    </row>
    <row r="16" customFormat="false" ht="36" hidden="false" customHeight="true" outlineLevel="0" collapsed="false">
      <c r="B16" s="6" t="s">
        <v>11</v>
      </c>
      <c r="C16" s="7"/>
      <c r="D16" s="8" t="n">
        <f aca="false">IF(C16="Non, rapport unique",0,IF(C16="Oui, trimestriel",1,IF(C16="Oui, mensuel",2,IF(C16="Oui, hebdomadaire ou plus",3,0))))</f>
        <v>0</v>
      </c>
    </row>
    <row r="17" customFormat="false" ht="36" hidden="false" customHeight="true" outlineLevel="0" collapsed="false">
      <c r="B17" s="9" t="s">
        <v>12</v>
      </c>
      <c r="C17" s="7"/>
      <c r="D17" s="10" t="n">
        <f aca="false">IF(C17="1 – 2 personnes",0,IF(C17="3 – 10 personnes",1,IF(C17="11 – 50 personnes",2,IF(C17="Plus de 50 personnes",3,0))))</f>
        <v>0</v>
      </c>
    </row>
    <row r="18" customFormat="false" ht="36" hidden="false" customHeight="true" outlineLevel="0" collapsed="false">
      <c r="B18" s="6" t="s">
        <v>13</v>
      </c>
      <c r="C18" s="7"/>
      <c r="D18" s="8" t="n">
        <f aca="false">IF(C18="Non",0,IF(C18="Suivi informel",1,IF(C18="KPI définis mais suivi manuel",2,IF(C18="KPI définis avec suivi automatisé souhaité",3,0))))</f>
        <v>0</v>
      </c>
    </row>
    <row r="19" customFormat="false" ht="7.5" hidden="false" customHeight="true" outlineLevel="0" collapsed="false"/>
    <row r="20" customFormat="false" ht="25.5" hidden="false" customHeight="true" outlineLevel="0" collapsed="false">
      <c r="B20" s="4" t="s">
        <v>14</v>
      </c>
      <c r="C20" s="4"/>
      <c r="D20" s="4"/>
    </row>
    <row r="21" customFormat="false" ht="19.5" hidden="false" customHeight="true" outlineLevel="0" collapsed="false">
      <c r="B21" s="5" t="s">
        <v>4</v>
      </c>
      <c r="C21" s="5" t="s">
        <v>5</v>
      </c>
      <c r="D21" s="5" t="s">
        <v>6</v>
      </c>
    </row>
    <row r="22" customFormat="false" ht="36" hidden="false" customHeight="true" outlineLevel="0" collapsed="false">
      <c r="B22" s="6" t="s">
        <v>15</v>
      </c>
      <c r="C22" s="7"/>
      <c r="D22" s="8" t="n">
        <f aca="false">IF(C22="Décisions intuitives / expérience",0,IF(C22="Quelques analyses ponctuelles",1,IF(C22="Analyses régulières requises",2,IF(C22="Analyses continues et prédictives",3,0))))</f>
        <v>0</v>
      </c>
    </row>
    <row r="23" customFormat="false" ht="36" hidden="false" customHeight="true" outlineLevel="0" collapsed="false">
      <c r="B23" s="9" t="s">
        <v>16</v>
      </c>
      <c r="C23" s="7"/>
      <c r="D23" s="10" t="n">
        <f aca="false">IF(C23="Non",0,IF(C23="Comparaisons simples (2 éléments)",1,IF(C23="Comparaisons multiples",2,IF(C23="Tableaux de bord comparatifs avancés",3,0))))</f>
        <v>0</v>
      </c>
    </row>
    <row r="24" customFormat="false" ht="36" hidden="false" customHeight="true" outlineLevel="0" collapsed="false">
      <c r="B24" s="6" t="s">
        <v>17</v>
      </c>
      <c r="C24" s="7"/>
      <c r="D24" s="8" t="n">
        <f aca="false">IF(C24="Non",0,IF(C24="Filtres simples",1,IF(C24="Segmentation multicritère",2,IF(C24="Segmentation dynamique et drill-down",3,0))))</f>
        <v>0</v>
      </c>
    </row>
    <row r="25" customFormat="false" ht="7.5" hidden="false" customHeight="true" outlineLevel="0" collapsed="false"/>
    <row r="26" customFormat="false" ht="25.5" hidden="false" customHeight="true" outlineLevel="0" collapsed="false">
      <c r="B26" s="4" t="s">
        <v>18</v>
      </c>
      <c r="C26" s="4"/>
      <c r="D26" s="4"/>
    </row>
    <row r="27" customFormat="false" ht="19.5" hidden="false" customHeight="true" outlineLevel="0" collapsed="false">
      <c r="B27" s="5" t="s">
        <v>4</v>
      </c>
      <c r="C27" s="5" t="s">
        <v>5</v>
      </c>
      <c r="D27" s="5" t="s">
        <v>6</v>
      </c>
    </row>
    <row r="28" customFormat="false" ht="36" hidden="false" customHeight="true" outlineLevel="0" collapsed="false">
      <c r="B28" s="6" t="s">
        <v>19</v>
      </c>
      <c r="C28" s="7"/>
      <c r="D28" s="8" t="n">
        <f aca="false">IF(C28="Oui, entièrement disponibles",3,IF(C28="Oui, partiellement",2,IF(C28="Non, mais budget prévu",1,IF(C28="Non et budget limité",0,0))))</f>
        <v>0</v>
      </c>
    </row>
    <row r="29" customFormat="false" ht="36" hidden="false" customHeight="true" outlineLevel="0" collapsed="false">
      <c r="B29" s="9" t="s">
        <v>20</v>
      </c>
      <c r="C29" s="7"/>
      <c r="D29" s="10" t="n">
        <f aca="false">IF(C29="Équipe dédiée BI",3,IF(C29="Quelques compétences",2,IF(C29="Compétences limitées",1,IF(C29="Aucune compétence BI",0,0))))</f>
        <v>0</v>
      </c>
    </row>
    <row r="30" customFormat="false" ht="36" hidden="false" customHeight="true" outlineLevel="0" collapsed="false">
      <c r="B30" s="6" t="s">
        <v>21</v>
      </c>
      <c r="C30" s="7"/>
      <c r="D30" s="8" t="n">
        <f aca="false">IF(C30="Faible (&gt; 12 mois)",0,IF(C30="Modéré (6 – 12 mois)",1,IF(C30="Élevé (3 – 6 mois)",2,IF(C30="Critique (&lt; 3 mois)",3,0))))</f>
        <v>0</v>
      </c>
    </row>
    <row r="31" customFormat="false" ht="7.5" hidden="false" customHeight="true" outlineLevel="0" collapsed="false"/>
    <row r="32" customFormat="false" ht="31.5" hidden="false" customHeight="true" outlineLevel="0" collapsed="false">
      <c r="B32" s="11" t="s">
        <v>22</v>
      </c>
      <c r="C32" s="11"/>
      <c r="D32" s="12" t="n">
        <f aca="false">IFERROR(D10+D11+D12+D16+D17+D18+D22+D23+D24+D28+D29+D30,0)</f>
        <v>0</v>
      </c>
    </row>
    <row r="34" customFormat="false" ht="21.75" hidden="false" customHeight="true" outlineLevel="0" collapsed="false">
      <c r="B34" s="13" t="s">
        <v>23</v>
      </c>
      <c r="C34" s="13"/>
      <c r="D34" s="13"/>
    </row>
  </sheetData>
  <mergeCells count="9">
    <mergeCell ref="B2:D2"/>
    <mergeCell ref="B3:D3"/>
    <mergeCell ref="B5:D5"/>
    <mergeCell ref="B8:D8"/>
    <mergeCell ref="B14:D14"/>
    <mergeCell ref="B20:D20"/>
    <mergeCell ref="B26:D26"/>
    <mergeCell ref="B32:C32"/>
    <mergeCell ref="B34:D34"/>
  </mergeCells>
  <dataValidations count="12">
    <dataValidation allowBlank="true" errorStyle="stop" operator="between" showDropDown="false" showErrorMessage="false" showInputMessage="false" sqref="C10" type="list">
      <formula1>"Non (&lt; 500 lignes/mois),Peu (500 – 5 000),Modéré (5 000 – 50 000),Important (&gt; 50 000)"</formula1>
      <formula2>0</formula2>
    </dataValidation>
    <dataValidation allowBlank="true" errorStyle="stop" operator="between" showDropDown="false" showErrorMessage="false" showInputMessage="false" sqref="C11" type="list">
      <formula1>"1 source unique,2 – 3 sources,4 – 6 sources,7 sources ou plus"</formula1>
      <formula2>0</formula2>
    </dataValidation>
    <dataValidation allowBlank="true" errorStyle="stop" operator="between" showDropDown="false" showErrorMessage="false" showInputMessage="false" sqref="C12" type="list">
      <formula1>"Statique / ponctuel,Mensuel,Hebdomadaire,Quotidien ou temps réel"</formula1>
      <formula2>0</formula2>
    </dataValidation>
    <dataValidation allowBlank="true" errorStyle="stop" operator="between" showDropDown="false" showErrorMessage="false" showInputMessage="false" sqref="C16" type="list">
      <formula1>"Non,rapport unique,Oui,trimestriel,Oui,mensuel,Oui,hebdomadaire ou plus"</formula1>
      <formula2>0</formula2>
    </dataValidation>
    <dataValidation allowBlank="true" errorStyle="stop" operator="between" showDropDown="false" showErrorMessage="false" showInputMessage="false" sqref="C17" type="list">
      <formula1>"1 – 2 personnes,3 – 10 personnes,11 – 50 personnes,Plus de 50 personnes"</formula1>
      <formula2>0</formula2>
    </dataValidation>
    <dataValidation allowBlank="true" errorStyle="stop" operator="between" showDropDown="false" showErrorMessage="false" showInputMessage="false" sqref="C18" type="list">
      <formula1>"Non,Suivi informel,KPI définis mais suivi manuel,KPI définis avec suivi automatisé souhaité"</formula1>
      <formula2>0</formula2>
    </dataValidation>
    <dataValidation allowBlank="true" errorStyle="stop" operator="between" showDropDown="false" showErrorMessage="false" showInputMessage="false" sqref="C22" type="list">
      <formula1>"Décisions intuitives / expérience,Quelques analyses ponctuelles,Analyses régulières requises,Analyses continues et prédictives"</formula1>
      <formula2>0</formula2>
    </dataValidation>
    <dataValidation allowBlank="true" errorStyle="stop" operator="between" showDropDown="false" showErrorMessage="false" showInputMessage="false" sqref="C23" type="list">
      <formula1>"Non,Comparaisons simples (2 éléments),Comparaisons multiples,Tableaux de bord comparatifs avancés"</formula1>
      <formula2>0</formula2>
    </dataValidation>
    <dataValidation allowBlank="true" errorStyle="stop" operator="between" showDropDown="false" showErrorMessage="false" showInputMessage="false" sqref="C24" type="list">
      <formula1>"Non,Filtres simples,Segmentation multicritère,Segmentation dynamique et drill-down"</formula1>
      <formula2>0</formula2>
    </dataValidation>
    <dataValidation allowBlank="true" errorStyle="stop" operator="between" showDropDown="false" showErrorMessage="false" showInputMessage="false" sqref="C28" type="list">
      <formula1>"Oui,entièrement disponibles,Oui,partiellement,Non,mais budget prévu,Non et budget limité"</formula1>
      <formula2>0</formula2>
    </dataValidation>
    <dataValidation allowBlank="true" errorStyle="stop" operator="between" showDropDown="false" showErrorMessage="false" showInputMessage="false" sqref="C29" type="list">
      <formula1>"Équipe dédiée BI,Quelques compétences,Compétences limitées,Aucune compétence BI"</formula1>
      <formula2>0</formula2>
    </dataValidation>
    <dataValidation allowBlank="true" errorStyle="stop" operator="between" showDropDown="false" showErrorMessage="false" showInputMessage="false" sqref="C30" type="list">
      <formula1>"Faible (&gt; 12 mois),Modéré (6 – 12 mois),Élevé (3 – 6 mois),Critique (&lt; 3 mois)"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28"/>
    <col collapsed="false" customWidth="true" hidden="false" outlineLevel="0" max="5" min="5" style="0" width="3"/>
  </cols>
  <sheetData>
    <row r="2" customFormat="false" ht="45" hidden="false" customHeight="true" outlineLevel="0" collapsed="false">
      <c r="B2" s="1" t="s">
        <v>24</v>
      </c>
      <c r="C2" s="1"/>
      <c r="D2" s="1"/>
    </row>
    <row r="3" customFormat="false" ht="21.75" hidden="false" customHeight="true" outlineLevel="0" collapsed="false">
      <c r="B3" s="2" t="s">
        <v>25</v>
      </c>
      <c r="C3" s="2"/>
      <c r="D3" s="2"/>
    </row>
    <row r="5" customFormat="false" ht="30" hidden="false" customHeight="true" outlineLevel="0" collapsed="false">
      <c r="B5" s="14" t="s">
        <v>26</v>
      </c>
      <c r="C5" s="14"/>
      <c r="D5" s="15" t="n">
        <f aca="false">'📋 Formulaire'!D32</f>
        <v>0</v>
      </c>
    </row>
    <row r="7" customFormat="false" ht="27.75" hidden="false" customHeight="true" outlineLevel="0" collapsed="false">
      <c r="B7" s="16" t="str">
        <f aca="false">IF('📋 Formulaire'!D32&lt;=10,"🔴  BI non prioritaire — Gestion simple suffisante",IF('📋 Formulaire'!D32&lt;=20,"🟡  BI envisageable — Quelques tableaux de bord utiles",IF('📋 Formulaire'!D32&lt;=28,"🟠  BI recommandée — Mise en place d'un dispositif BI structuré","🟢  BI indispensable — Projet à fort enjeu analytique")))</f>
        <v>🔴  BI non prioritaire — Gestion simple suffisante</v>
      </c>
      <c r="C7" s="16"/>
      <c r="D7" s="16"/>
    </row>
    <row r="9" customFormat="false" ht="75" hidden="false" customHeight="true" outlineLevel="0" collapsed="false">
      <c r="B9" s="17" t="str">
        <f aca="false">IF('📋 Formulaire'!D32&lt;=10,"Avec un score faible, le projet ne justifie pas encore un investissement BI dédié. Des outils simples (Excel, Google Sheets) sont suffisants pour l'instant.",IF('📋 Formulaire'!D32&lt;=20,"Le projet présente des besoins analytiques modérés. Des tableaux de bord simples (Power BI Starter, Metabase) peuvent apporter de la valeur sans investissement lourd.",IF('📋 Formulaire'!D32&lt;=28,"Le projet justifie la mise en place d'un volet BI structuré : architecture de données, tableaux de bord interactifs et formation des utilisateurs sont recommandés.","Le projet est critique et nécessite un dispositif BI complet : entrepôt de données, solution BI professionnelle (Power BI, Tableau, Qlik), gouvernance des données et équipe dédiée.")))</f>
        <v>Avec un score faible, le projet ne justifie pas encore un investissement BI dédié. Des outils simples (Excel, Google Sheets) sont suffisants pour l'instant.</v>
      </c>
      <c r="C9" s="17"/>
      <c r="D9" s="17"/>
    </row>
    <row r="11" customFormat="false" ht="25.5" hidden="false" customHeight="true" outlineLevel="0" collapsed="false">
      <c r="B11" s="18" t="s">
        <v>27</v>
      </c>
      <c r="C11" s="18"/>
      <c r="D11" s="18"/>
    </row>
    <row r="12" customFormat="false" ht="27.75" hidden="false" customHeight="true" outlineLevel="0" collapsed="false">
      <c r="B12" s="19" t="s">
        <v>28</v>
      </c>
      <c r="C12" s="19" t="s">
        <v>29</v>
      </c>
      <c r="D12" s="19" t="s">
        <v>30</v>
      </c>
    </row>
    <row r="13" customFormat="false" ht="36" hidden="false" customHeight="true" outlineLevel="0" collapsed="false">
      <c r="B13" s="20" t="s">
        <v>31</v>
      </c>
      <c r="C13" s="21" t="s">
        <v>32</v>
      </c>
      <c r="D13" s="22" t="s">
        <v>33</v>
      </c>
    </row>
    <row r="14" customFormat="false" ht="27.75" hidden="false" customHeight="true" outlineLevel="0" collapsed="false">
      <c r="B14" s="20"/>
      <c r="C14" s="21" t="s">
        <v>34</v>
      </c>
      <c r="D14" s="22" t="s">
        <v>35</v>
      </c>
    </row>
    <row r="15" customFormat="false" ht="27.75" hidden="false" customHeight="true" outlineLevel="0" collapsed="false">
      <c r="B15" s="20"/>
      <c r="C15" s="21" t="s">
        <v>36</v>
      </c>
      <c r="D15" s="22" t="s">
        <v>37</v>
      </c>
    </row>
    <row r="16" customFormat="false" ht="36" hidden="false" customHeight="true" outlineLevel="0" collapsed="false">
      <c r="B16" s="23" t="s">
        <v>38</v>
      </c>
      <c r="C16" s="21" t="s">
        <v>39</v>
      </c>
      <c r="D16" s="22" t="s">
        <v>40</v>
      </c>
    </row>
    <row r="17" customFormat="false" ht="27.75" hidden="false" customHeight="true" outlineLevel="0" collapsed="false">
      <c r="B17" s="23"/>
      <c r="C17" s="21" t="s">
        <v>41</v>
      </c>
      <c r="D17" s="22" t="s">
        <v>42</v>
      </c>
    </row>
    <row r="18" customFormat="false" ht="27.75" hidden="false" customHeight="true" outlineLevel="0" collapsed="false">
      <c r="B18" s="23"/>
      <c r="C18" s="21" t="s">
        <v>43</v>
      </c>
      <c r="D18" s="22" t="s">
        <v>44</v>
      </c>
    </row>
    <row r="19" customFormat="false" ht="27.75" hidden="false" customHeight="true" outlineLevel="0" collapsed="false">
      <c r="B19" s="23"/>
      <c r="C19" s="21" t="s">
        <v>45</v>
      </c>
      <c r="D19" s="22" t="s">
        <v>46</v>
      </c>
    </row>
    <row r="20" customFormat="false" ht="36" hidden="false" customHeight="true" outlineLevel="0" collapsed="false">
      <c r="B20" s="24" t="s">
        <v>47</v>
      </c>
      <c r="C20" s="21" t="s">
        <v>48</v>
      </c>
      <c r="D20" s="22" t="s">
        <v>49</v>
      </c>
    </row>
    <row r="21" customFormat="false" ht="27.75" hidden="false" customHeight="true" outlineLevel="0" collapsed="false">
      <c r="B21" s="24"/>
      <c r="C21" s="21" t="s">
        <v>50</v>
      </c>
      <c r="D21" s="22" t="s">
        <v>51</v>
      </c>
    </row>
    <row r="22" customFormat="false" ht="27.75" hidden="false" customHeight="true" outlineLevel="0" collapsed="false">
      <c r="B22" s="24"/>
      <c r="C22" s="21" t="s">
        <v>52</v>
      </c>
      <c r="D22" s="22" t="s">
        <v>53</v>
      </c>
    </row>
    <row r="23" customFormat="false" ht="27.75" hidden="false" customHeight="true" outlineLevel="0" collapsed="false">
      <c r="B23" s="24"/>
      <c r="C23" s="21" t="s">
        <v>54</v>
      </c>
      <c r="D23" s="22" t="s">
        <v>55</v>
      </c>
    </row>
    <row r="24" customFormat="false" ht="27.75" hidden="false" customHeight="true" outlineLevel="0" collapsed="false">
      <c r="B24" s="24"/>
      <c r="C24" s="21" t="s">
        <v>56</v>
      </c>
      <c r="D24" s="22" t="s">
        <v>57</v>
      </c>
    </row>
    <row r="25" customFormat="false" ht="36" hidden="false" customHeight="true" outlineLevel="0" collapsed="false">
      <c r="B25" s="25" t="s">
        <v>58</v>
      </c>
      <c r="C25" s="21" t="s">
        <v>59</v>
      </c>
      <c r="D25" s="22" t="s">
        <v>60</v>
      </c>
    </row>
    <row r="26" customFormat="false" ht="27.75" hidden="false" customHeight="true" outlineLevel="0" collapsed="false">
      <c r="B26" s="25"/>
      <c r="C26" s="21" t="s">
        <v>61</v>
      </c>
      <c r="D26" s="22" t="s">
        <v>62</v>
      </c>
    </row>
    <row r="27" customFormat="false" ht="27.75" hidden="false" customHeight="true" outlineLevel="0" collapsed="false">
      <c r="B27" s="25"/>
      <c r="C27" s="21" t="s">
        <v>63</v>
      </c>
      <c r="D27" s="22" t="s">
        <v>64</v>
      </c>
    </row>
    <row r="28" customFormat="false" ht="27.75" hidden="false" customHeight="true" outlineLevel="0" collapsed="false">
      <c r="B28" s="25"/>
      <c r="C28" s="21" t="s">
        <v>65</v>
      </c>
      <c r="D28" s="22" t="s">
        <v>66</v>
      </c>
    </row>
    <row r="29" customFormat="false" ht="27.75" hidden="false" customHeight="true" outlineLevel="0" collapsed="false">
      <c r="B29" s="25"/>
      <c r="C29" s="21" t="s">
        <v>67</v>
      </c>
      <c r="D29" s="22" t="s">
        <v>68</v>
      </c>
    </row>
    <row r="30" customFormat="false" ht="27.75" hidden="false" customHeight="true" outlineLevel="0" collapsed="false">
      <c r="B30" s="25"/>
      <c r="C30" s="21" t="s">
        <v>69</v>
      </c>
      <c r="D30" s="22" t="s">
        <v>70</v>
      </c>
    </row>
    <row r="32" customFormat="false" ht="18" hidden="false" customHeight="true" outlineLevel="0" collapsed="false">
      <c r="B32" s="26" t="s">
        <v>71</v>
      </c>
      <c r="C32" s="26"/>
      <c r="D32" s="26"/>
    </row>
  </sheetData>
  <mergeCells count="7">
    <mergeCell ref="B2:D2"/>
    <mergeCell ref="B3:D3"/>
    <mergeCell ref="B5:C5"/>
    <mergeCell ref="B7:D7"/>
    <mergeCell ref="B9:D9"/>
    <mergeCell ref="B11:D11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3"/>
  </cols>
  <sheetData>
    <row r="2" customFormat="false" ht="45" hidden="false" customHeight="true" outlineLevel="0" collapsed="false">
      <c r="B2" s="27" t="s">
        <v>72</v>
      </c>
    </row>
    <row r="4" customFormat="false" ht="30" hidden="false" customHeight="true" outlineLevel="0" collapsed="false">
      <c r="B4" s="28" t="s">
        <v>73</v>
      </c>
    </row>
    <row r="5" customFormat="false" ht="21.75" hidden="false" customHeight="true" outlineLevel="0" collapsed="false">
      <c r="B5" s="29" t="s">
        <v>74</v>
      </c>
    </row>
    <row r="6" customFormat="false" ht="39.75" hidden="false" customHeight="true" outlineLevel="0" collapsed="false">
      <c r="B6" s="30" t="s">
        <v>75</v>
      </c>
    </row>
    <row r="7" customFormat="false" ht="21.75" hidden="false" customHeight="true" outlineLevel="0" collapsed="false">
      <c r="B7" s="31" t="s">
        <v>76</v>
      </c>
    </row>
    <row r="8" customFormat="false" ht="30" hidden="false" customHeight="true" outlineLevel="0" collapsed="false">
      <c r="B8" s="28" t="s">
        <v>77</v>
      </c>
    </row>
    <row r="9" customFormat="false" ht="21.75" hidden="false" customHeight="true" outlineLevel="0" collapsed="false">
      <c r="B9" s="29" t="s">
        <v>78</v>
      </c>
    </row>
    <row r="10" customFormat="false" ht="21.75" hidden="false" customHeight="true" outlineLevel="0" collapsed="false">
      <c r="B10" s="30" t="s">
        <v>79</v>
      </c>
    </row>
    <row r="11" customFormat="false" ht="21.75" hidden="false" customHeight="true" outlineLevel="0" collapsed="false">
      <c r="B11" s="31" t="s">
        <v>80</v>
      </c>
    </row>
    <row r="12" customFormat="false" ht="30" hidden="false" customHeight="true" outlineLevel="0" collapsed="false">
      <c r="B12" s="32" t="s">
        <v>81</v>
      </c>
    </row>
    <row r="13" customFormat="false" ht="21.75" hidden="false" customHeight="true" outlineLevel="0" collapsed="false">
      <c r="B13" s="33" t="s">
        <v>82</v>
      </c>
    </row>
    <row r="14" customFormat="false" ht="21.75" hidden="false" customHeight="true" outlineLevel="0" collapsed="false">
      <c r="B14" s="34" t="s">
        <v>83</v>
      </c>
    </row>
    <row r="15" customFormat="false" ht="21.75" hidden="false" customHeight="true" outlineLevel="0" collapsed="false">
      <c r="B15" s="35" t="s">
        <v>84</v>
      </c>
    </row>
    <row r="16" customFormat="false" ht="21.75" hidden="false" customHeight="true" outlineLevel="0" collapsed="false">
      <c r="B16" s="29" t="s">
        <v>85</v>
      </c>
    </row>
    <row r="17" customFormat="false" ht="30" hidden="false" customHeight="true" outlineLevel="0" collapsed="false">
      <c r="B17" s="32" t="s">
        <v>86</v>
      </c>
    </row>
    <row r="18" customFormat="false" ht="33.75" hidden="false" customHeight="true" outlineLevel="0" collapsed="false">
      <c r="B18" s="31" t="s">
        <v>87</v>
      </c>
    </row>
    <row r="19" customFormat="false" ht="49.5" hidden="false" customHeight="true" outlineLevel="0" collapsed="false">
      <c r="B19" s="30" t="s">
        <v>88</v>
      </c>
    </row>
    <row r="20" customFormat="false" ht="49.5" hidden="false" customHeight="true" outlineLevel="0" collapsed="false">
      <c r="B20" s="3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2026-03-25T14:29:19Z</dcterms:created>
  <dc:creator>openpyxl</dc:creator>
  <dc:description/>
  <dc:language>en-US</dc:language>
  <cp:lastModifiedBy/>
  <dcterms:modified xsi:type="dcterms:W3CDTF">2026-03-25T14:29:19Z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